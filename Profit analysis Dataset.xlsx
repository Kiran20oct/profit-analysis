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xr:revisionPtr revIDLastSave="0" documentId="13_ncr:1_{6A59C3A6-BF37-4090-9827-B162E7EBB382}" xr6:coauthVersionLast="47" xr6:coauthVersionMax="47" xr10:uidLastSave="{00000000-0000-0000-0000-000000000000}"/>
  <bookViews>
    <workbookView xWindow="-120" yWindow="-120" windowWidth="20730" windowHeight="11160" xr2:uid="{C87FCBE6-161E-4941-9603-74B62AFB9CA4}"/>
  </bookViews>
  <sheets>
    <sheet name="Profit_analysis" sheetId="1" r:id="rId1"/>
    <sheet name="Sheet1" sheetId="2" r:id="rId2"/>
  </sheet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H5" i="1" l="1"/>
  <c r="H4" i="1"/>
</calcChain>
</file>

<file path=xl/sharedStrings.xml><?xml version="1.0" encoding="utf-8"?>
<sst xmlns="http://schemas.openxmlformats.org/spreadsheetml/2006/main" count="141" uniqueCount="37">
  <si>
    <t>RD_Spend</t>
  </si>
  <si>
    <t>Administration</t>
  </si>
  <si>
    <t>Marketing_Spend</t>
  </si>
  <si>
    <t>State</t>
  </si>
  <si>
    <t>Profit</t>
  </si>
  <si>
    <t>SUMMARY OUTPUT</t>
  </si>
  <si>
    <t>New York</t>
  </si>
  <si>
    <t>California</t>
  </si>
  <si>
    <t>Regression Statistics</t>
  </si>
  <si>
    <t>Florida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</si>
  <si>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</si>
  <si>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</si>
  <si>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</si>
  <si>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</si>
  <si>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</si>
  <si>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</si>
  <si>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</si>
  <si>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</si>
  <si>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</si>
  <si>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</si>
  <si>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</si>
  <si>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</si>
  <si>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</si>
  <si>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</si>
  <si>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</si>
  <si>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</si>
  <si>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</si>
  <si>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</si>
  <si>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</si>
  <si>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</si>
  <si>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</si>
  <si>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</si>
  <si>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Input 1</t>
  </si>
  <si>
    <t>Input2</t>
  </si>
  <si>
    <t>Row Labels</t>
  </si>
  <si>
    <t>Grand Total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</si>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</sst>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Impact</a:t>
            </a:r>
            <a:r>
              <a:rPr lang="en-US" baseline="0">
                <a:solidFill>
                  <a:schemeClr val="tx1"/>
                </a:solidFill>
              </a:rPr>
              <a:t> of </a:t>
            </a:r>
            <a:r>
              <a:rPr lang="en-US">
                <a:solidFill>
                  <a:schemeClr val="tx1"/>
                </a:solidFill>
              </a:rPr>
              <a:t>R&amp;D on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18336080083013"/>
          <c:y val="0.12916344916344918"/>
          <c:w val="0.79259183299761948"/>
          <c:h val="0.68963568743096304"/>
        </c:manualLayout>
      </c:layout>
      <c:scatterChart>
        <c:scatterStyle val="lineMarker"/>
        <c:varyColors val="0"/>
        <c:ser>
          <c:idx val="0"/>
          <c:order val="0"/>
          <c:tx>
            <c:v>R&amp;D vs Profit</c:v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1578099249221755"/>
                  <c:y val="-9.575735465499245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y = 0.8543x + 49033</a:t>
                    </a:r>
                    <a:br>
                      <a:rPr lang="en-US"/>
                    </a:br>
                    <a:r>
                      <a:rPr lang="en-US"/>
                      <a:t>R² = 0.9465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Profit_analysis!$A$2:$A$51</c:f>
              <c:numCache>
                <c:formatCode>General</c:formatCode>
                <c:ptCount val="50"/>
                <c:pt idx="0">
                  <c:v>165349.20000000001</c:v>
                </c:pt>
                <c:pt idx="1">
                  <c:v>162597.70000000001</c:v>
                </c:pt>
                <c:pt idx="2">
                  <c:v>153441.51</c:v>
                </c:pt>
                <c:pt idx="3">
                  <c:v>144372.41</c:v>
                </c:pt>
                <c:pt idx="4">
                  <c:v>142107.34</c:v>
                </c:pt>
                <c:pt idx="5">
                  <c:v>131876.9</c:v>
                </c:pt>
                <c:pt idx="6">
                  <c:v>134615.46</c:v>
                </c:pt>
                <c:pt idx="7">
                  <c:v>130298.13</c:v>
                </c:pt>
                <c:pt idx="8">
                  <c:v>120542.52</c:v>
                </c:pt>
                <c:pt idx="9">
                  <c:v>123334.88</c:v>
                </c:pt>
                <c:pt idx="10">
                  <c:v>101913.08</c:v>
                </c:pt>
                <c:pt idx="11">
                  <c:v>100671.96</c:v>
                </c:pt>
                <c:pt idx="12">
                  <c:v>93863.75</c:v>
                </c:pt>
                <c:pt idx="13">
                  <c:v>91992.39</c:v>
                </c:pt>
                <c:pt idx="14">
                  <c:v>119943.24</c:v>
                </c:pt>
                <c:pt idx="15">
                  <c:v>114523.61</c:v>
                </c:pt>
                <c:pt idx="16">
                  <c:v>78013.11</c:v>
                </c:pt>
                <c:pt idx="17">
                  <c:v>94657.16</c:v>
                </c:pt>
                <c:pt idx="18">
                  <c:v>91749.16</c:v>
                </c:pt>
                <c:pt idx="19">
                  <c:v>86419.7</c:v>
                </c:pt>
                <c:pt idx="20">
                  <c:v>76253.86</c:v>
                </c:pt>
                <c:pt idx="21">
                  <c:v>78389.47</c:v>
                </c:pt>
                <c:pt idx="22">
                  <c:v>73994.559999999998</c:v>
                </c:pt>
                <c:pt idx="23">
                  <c:v>67532.53</c:v>
                </c:pt>
                <c:pt idx="24">
                  <c:v>77044.009999999995</c:v>
                </c:pt>
                <c:pt idx="25">
                  <c:v>64664.71</c:v>
                </c:pt>
                <c:pt idx="26">
                  <c:v>75328.87</c:v>
                </c:pt>
                <c:pt idx="27">
                  <c:v>72107.600000000006</c:v>
                </c:pt>
                <c:pt idx="28">
                  <c:v>66051.520000000004</c:v>
                </c:pt>
                <c:pt idx="29">
                  <c:v>65605.48</c:v>
                </c:pt>
                <c:pt idx="30">
                  <c:v>61994.48</c:v>
                </c:pt>
                <c:pt idx="31">
                  <c:v>61136.38</c:v>
                </c:pt>
                <c:pt idx="32">
                  <c:v>63408.86</c:v>
                </c:pt>
                <c:pt idx="33">
                  <c:v>55493.95</c:v>
                </c:pt>
                <c:pt idx="34">
                  <c:v>46426.07</c:v>
                </c:pt>
                <c:pt idx="35">
                  <c:v>46014.02</c:v>
                </c:pt>
                <c:pt idx="36">
                  <c:v>28663.759999999998</c:v>
                </c:pt>
                <c:pt idx="37">
                  <c:v>44069.95</c:v>
                </c:pt>
                <c:pt idx="38">
                  <c:v>20229.59</c:v>
                </c:pt>
                <c:pt idx="39">
                  <c:v>38558.51</c:v>
                </c:pt>
                <c:pt idx="40">
                  <c:v>28754.33</c:v>
                </c:pt>
                <c:pt idx="41">
                  <c:v>27892.92</c:v>
                </c:pt>
                <c:pt idx="42">
                  <c:v>23640.93</c:v>
                </c:pt>
                <c:pt idx="43">
                  <c:v>15505.73</c:v>
                </c:pt>
                <c:pt idx="44">
                  <c:v>22177.74</c:v>
                </c:pt>
                <c:pt idx="45">
                  <c:v>1000.23</c:v>
                </c:pt>
                <c:pt idx="46">
                  <c:v>1315.46</c:v>
                </c:pt>
                <c:pt idx="47">
                  <c:v>0</c:v>
                </c:pt>
                <c:pt idx="48">
                  <c:v>542.04999999999995</c:v>
                </c:pt>
                <c:pt idx="49">
                  <c:v>0</c:v>
                </c:pt>
              </c:numCache>
            </c:numRef>
          </c:xVal>
          <c:yVal>
            <c:numRef>
              <c:f>Profit_analysis!$E$2:$E$51</c:f>
              <c:numCache>
                <c:formatCode>General</c:formatCode>
                <c:ptCount val="50"/>
                <c:pt idx="0">
                  <c:v>192261.83</c:v>
                </c:pt>
                <c:pt idx="1">
                  <c:v>191792.06</c:v>
                </c:pt>
                <c:pt idx="2">
                  <c:v>191050.39</c:v>
                </c:pt>
                <c:pt idx="3">
                  <c:v>182901.99</c:v>
                </c:pt>
                <c:pt idx="4">
                  <c:v>166187.94</c:v>
                </c:pt>
                <c:pt idx="5">
                  <c:v>156991.12</c:v>
                </c:pt>
                <c:pt idx="6">
                  <c:v>156122.51</c:v>
                </c:pt>
                <c:pt idx="7">
                  <c:v>155752.6</c:v>
                </c:pt>
                <c:pt idx="8">
                  <c:v>152211.76999999999</c:v>
                </c:pt>
                <c:pt idx="9">
                  <c:v>149759.96</c:v>
                </c:pt>
                <c:pt idx="10">
                  <c:v>146121.95000000001</c:v>
                </c:pt>
                <c:pt idx="11">
                  <c:v>144259.4</c:v>
                </c:pt>
                <c:pt idx="12">
                  <c:v>141585.51999999999</c:v>
                </c:pt>
                <c:pt idx="13">
                  <c:v>134307.35</c:v>
                </c:pt>
                <c:pt idx="14">
                  <c:v>132602.65</c:v>
                </c:pt>
                <c:pt idx="15">
                  <c:v>129917.04</c:v>
                </c:pt>
                <c:pt idx="16">
                  <c:v>126992.93</c:v>
                </c:pt>
                <c:pt idx="17">
                  <c:v>125370.37</c:v>
                </c:pt>
                <c:pt idx="18">
                  <c:v>124266.9</c:v>
                </c:pt>
                <c:pt idx="19">
                  <c:v>122776.86</c:v>
                </c:pt>
                <c:pt idx="20">
                  <c:v>118474.03</c:v>
                </c:pt>
                <c:pt idx="21">
                  <c:v>111313.02</c:v>
                </c:pt>
                <c:pt idx="22">
                  <c:v>110352.25</c:v>
                </c:pt>
                <c:pt idx="23">
                  <c:v>108733.99</c:v>
                </c:pt>
                <c:pt idx="24">
                  <c:v>108552.04</c:v>
                </c:pt>
                <c:pt idx="25">
                  <c:v>107404.34</c:v>
                </c:pt>
                <c:pt idx="26">
                  <c:v>105733.54</c:v>
                </c:pt>
                <c:pt idx="27">
                  <c:v>105008.31</c:v>
                </c:pt>
                <c:pt idx="28">
                  <c:v>103282.38</c:v>
                </c:pt>
                <c:pt idx="29">
                  <c:v>101004.64</c:v>
                </c:pt>
                <c:pt idx="30">
                  <c:v>99937.59</c:v>
                </c:pt>
                <c:pt idx="31">
                  <c:v>97483.56</c:v>
                </c:pt>
                <c:pt idx="32">
                  <c:v>97427.839999999997</c:v>
                </c:pt>
                <c:pt idx="33">
                  <c:v>96778.92</c:v>
                </c:pt>
                <c:pt idx="34">
                  <c:v>96712.8</c:v>
                </c:pt>
                <c:pt idx="35">
                  <c:v>96479.51</c:v>
                </c:pt>
                <c:pt idx="36">
                  <c:v>90708.19</c:v>
                </c:pt>
                <c:pt idx="37">
                  <c:v>89949.14</c:v>
                </c:pt>
                <c:pt idx="38">
                  <c:v>81229.06</c:v>
                </c:pt>
                <c:pt idx="39">
                  <c:v>81005.759999999995</c:v>
                </c:pt>
                <c:pt idx="40">
                  <c:v>78239.91</c:v>
                </c:pt>
                <c:pt idx="41">
                  <c:v>77798.83</c:v>
                </c:pt>
                <c:pt idx="42">
                  <c:v>71498.490000000005</c:v>
                </c:pt>
                <c:pt idx="43">
                  <c:v>69758.98</c:v>
                </c:pt>
                <c:pt idx="44">
                  <c:v>65200.33</c:v>
                </c:pt>
                <c:pt idx="45">
                  <c:v>64926.080000000002</c:v>
                </c:pt>
                <c:pt idx="46">
                  <c:v>49490.75</c:v>
                </c:pt>
                <c:pt idx="47">
                  <c:v>42559.73</c:v>
                </c:pt>
                <c:pt idx="48">
                  <c:v>35673.410000000003</c:v>
                </c:pt>
                <c:pt idx="49">
                  <c:v>14681.4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6B-48E9-B7D0-DCD970B73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395520"/>
        <c:axId val="1468404160"/>
      </c:scatterChart>
      <c:valAx>
        <c:axId val="146839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404160"/>
        <c:crosses val="autoZero"/>
        <c:crossBetween val="midCat"/>
      </c:valAx>
      <c:valAx>
        <c:axId val="146840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395520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[Profit analysis 1.xlsx]Sheet1!PivotTable1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01-4DF5-A0AD-D1DA991164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01-4DF5-A0AD-D1DA991164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01-4DF5-A0AD-D1DA99116436}"/>
              </c:ext>
            </c:extLst>
          </c:dPt>
          <c:cat>
            <c:strRef>
              <c:f>Sheet1!$A$4:$A$7</c:f>
              <c:strCache>
                <c:ptCount val="3"/>
                <c:pt idx="0">
                  <c:v>California</c:v>
                </c:pt>
                <c:pt idx="1">
                  <c:v>Florida</c:v>
                </c:pt>
                <c:pt idx="2">
                  <c:v>New York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1766387.98</c:v>
                </c:pt>
                <c:pt idx="1">
                  <c:v>1900384.3900000004</c:v>
                </c:pt>
                <c:pt idx="2">
                  <c:v>1933859.59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F6-49FD-96BF-67F0F8446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495300</xdr:colOff>
      <xdr:row>1</xdr:row>
      <xdr:rowOff>28575</xdr:rowOff>
    </xdr:from>
    <xdr:to>
      <xdr:col>25</xdr:col>
      <xdr:colOff>323850</xdr:colOff>
      <xdr:row>13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41B106-8DD4-6053-4007-291223759B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95250</xdr:rowOff>
    </xdr:from>
    <xdr:to>
      <xdr:col>10</xdr:col>
      <xdr:colOff>304800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5A152C-D083-9763-0F74-B7E930EB3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ran" refreshedDate="46117.846046296298" createdVersion="8" refreshedVersion="8" minRefreshableVersion="3" recordCount="50" xr:uid="{0B27E782-8F5F-4664-A5AA-B8135F16316C}">
  <cacheSource type="worksheet">
    <worksheetSource ref="D1:E51" sheet="Profit_analysis"/>
  </cacheSource>
  <cacheFields count="2">
    <cacheField name="State" numFmtId="0">
      <sharedItems count="3">
        <s v="New York"/>
        <s v="California"/>
        <s v="Florida"/>
      </sharedItems>
    </cacheField>
    <cacheField name="Profit" numFmtId="0">
      <sharedItems containsSemiMixedTypes="0" containsString="0" containsNumber="1" minValue="14681.4" maxValue="192261.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192261.83"/>
  </r>
  <r>
    <x v="1"/>
    <n v="191792.06"/>
  </r>
  <r>
    <x v="2"/>
    <n v="191050.39"/>
  </r>
  <r>
    <x v="0"/>
    <n v="182901.99"/>
  </r>
  <r>
    <x v="2"/>
    <n v="166187.94"/>
  </r>
  <r>
    <x v="0"/>
    <n v="156991.12"/>
  </r>
  <r>
    <x v="1"/>
    <n v="156122.51"/>
  </r>
  <r>
    <x v="2"/>
    <n v="155752.6"/>
  </r>
  <r>
    <x v="0"/>
    <n v="152211.76999999999"/>
  </r>
  <r>
    <x v="1"/>
    <n v="149759.96"/>
  </r>
  <r>
    <x v="2"/>
    <n v="146121.95000000001"/>
  </r>
  <r>
    <x v="1"/>
    <n v="144259.4"/>
  </r>
  <r>
    <x v="2"/>
    <n v="141585.51999999999"/>
  </r>
  <r>
    <x v="1"/>
    <n v="134307.35"/>
  </r>
  <r>
    <x v="2"/>
    <n v="132602.65"/>
  </r>
  <r>
    <x v="0"/>
    <n v="129917.04"/>
  </r>
  <r>
    <x v="1"/>
    <n v="126992.93"/>
  </r>
  <r>
    <x v="0"/>
    <n v="125370.37"/>
  </r>
  <r>
    <x v="2"/>
    <n v="124266.9"/>
  </r>
  <r>
    <x v="0"/>
    <n v="122776.86"/>
  </r>
  <r>
    <x v="1"/>
    <n v="118474.03"/>
  </r>
  <r>
    <x v="0"/>
    <n v="111313.02"/>
  </r>
  <r>
    <x v="2"/>
    <n v="110352.25"/>
  </r>
  <r>
    <x v="2"/>
    <n v="108733.99"/>
  </r>
  <r>
    <x v="0"/>
    <n v="108552.04"/>
  </r>
  <r>
    <x v="1"/>
    <n v="107404.34"/>
  </r>
  <r>
    <x v="2"/>
    <n v="105733.54"/>
  </r>
  <r>
    <x v="0"/>
    <n v="105008.31"/>
  </r>
  <r>
    <x v="2"/>
    <n v="103282.38"/>
  </r>
  <r>
    <x v="0"/>
    <n v="101004.64"/>
  </r>
  <r>
    <x v="2"/>
    <n v="99937.59"/>
  </r>
  <r>
    <x v="0"/>
    <n v="97483.56"/>
  </r>
  <r>
    <x v="1"/>
    <n v="97427.839999999997"/>
  </r>
  <r>
    <x v="2"/>
    <n v="96778.92"/>
  </r>
  <r>
    <x v="1"/>
    <n v="96712.8"/>
  </r>
  <r>
    <x v="0"/>
    <n v="96479.51"/>
  </r>
  <r>
    <x v="2"/>
    <n v="90708.19"/>
  </r>
  <r>
    <x v="1"/>
    <n v="89949.14"/>
  </r>
  <r>
    <x v="0"/>
    <n v="81229.06"/>
  </r>
  <r>
    <x v="1"/>
    <n v="81005.759999999995"/>
  </r>
  <r>
    <x v="1"/>
    <n v="78239.91"/>
  </r>
  <r>
    <x v="2"/>
    <n v="77798.83"/>
  </r>
  <r>
    <x v="1"/>
    <n v="71498.490000000005"/>
  </r>
  <r>
    <x v="0"/>
    <n v="69758.98"/>
  </r>
  <r>
    <x v="1"/>
    <n v="65200.33"/>
  </r>
  <r>
    <x v="0"/>
    <n v="64926.080000000002"/>
  </r>
  <r>
    <x v="2"/>
    <n v="49490.75"/>
  </r>
  <r>
    <x v="1"/>
    <n v="42559.73"/>
  </r>
  <r>
    <x v="0"/>
    <n v="35673.410000000003"/>
  </r>
  <r>
    <x v="1"/>
    <n v="14681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0DEF41-6100-41C9-9041-9326FD05C41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7" firstHeaderRow="1" firstDataRow="1" firstDataCol="1"/>
  <pivotFields count="2">
    <pivotField axis="axisRow" showAll="0">
      <items count="4">
        <item x="1"/>
        <item x="2"/>
        <item x="0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031E3-A6C6-463E-B8A6-14633A119F8E}">
  <dimension ref="A1:U52"/>
  <sheetViews>
    <sheetView tabSelected="1" topLeftCell="C1" workbookViewId="0">
      <selection activeCell="J10" sqref="J10"/>
    </sheetView>
  </sheetViews>
  <sheetFormatPr defaultRowHeight="15" x14ac:dyDescent="0.25"/>
  <cols>
    <col min="1" max="1" width="11.140625" customWidth="1"/>
    <col min="2" max="2" width="11.42578125" customWidth="1"/>
    <col min="3" max="3" width="11.7109375" customWidth="1"/>
    <col min="4" max="4" width="11.140625" customWidth="1"/>
    <col min="5" max="5" width="10.28515625" customWidth="1"/>
    <col min="13" max="13" width="17.28515625" customWidth="1"/>
    <col min="14" max="14" width="13.28515625" customWidth="1"/>
    <col min="15" max="15" width="14" customWidth="1"/>
    <col min="17" max="17" width="12.140625" customWidth="1"/>
    <col min="18" max="18" width="10.5703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8" x14ac:dyDescent="0.25">
      <c r="A2">
        <v>165349.20000000001</v>
      </c>
      <c r="B2">
        <v>136897.79999999999</v>
      </c>
      <c r="C2">
        <v>471784.1</v>
      </c>
      <c r="D2" t="s">
        <v>6</v>
      </c>
      <c r="E2">
        <v>192261.83</v>
      </c>
      <c r="M2" t="s">
        <v>5</v>
      </c>
    </row>
    <row r="3" spans="1:18" ht="15.75" thickBot="1" x14ac:dyDescent="0.3">
      <c r="A3">
        <v>162597.70000000001</v>
      </c>
      <c r="B3">
        <v>151377.59</v>
      </c>
      <c r="C3">
        <v>443898.53</v>
      </c>
      <c r="D3" t="s">
        <v>7</v>
      </c>
      <c r="E3">
        <v>191792.06</v>
      </c>
      <c r="H3" t="s">
        <v>4</v>
      </c>
    </row>
    <row r="4" spans="1:18" x14ac:dyDescent="0.25">
      <c r="A4">
        <v>153441.51</v>
      </c>
      <c r="B4">
        <v>101145.55</v>
      </c>
      <c r="C4">
        <v>407934.54</v>
      </c>
      <c r="D4" t="s">
        <v>9</v>
      </c>
      <c r="E4">
        <v>191050.39</v>
      </c>
      <c r="G4" t="s">
        <v>32</v>
      </c>
      <c r="H4">
        <f>50122.19+(0.8057*21892.92)+(-0.026*81910.77)+(0.027*164270.7)</f>
        <v>70066.944524000006</v>
      </c>
      <c r="M4" s="4" t="s">
        <v>8</v>
      </c>
      <c r="N4" s="4"/>
    </row>
    <row r="5" spans="1:18" x14ac:dyDescent="0.25">
      <c r="A5">
        <v>144372.41</v>
      </c>
      <c r="B5">
        <v>118671.85</v>
      </c>
      <c r="C5">
        <v>383199.62</v>
      </c>
      <c r="D5" t="s">
        <v>6</v>
      </c>
      <c r="E5">
        <v>182901.99</v>
      </c>
      <c r="G5" t="s">
        <v>33</v>
      </c>
      <c r="H5">
        <f>50122.19+(0.805*23940.93)+(-0.026*96489.63)+(0.027*137001.1)</f>
        <v>70584.937970000014</v>
      </c>
      <c r="M5" t="s">
        <v>10</v>
      </c>
      <c r="N5">
        <v>0.97506204626594128</v>
      </c>
    </row>
    <row r="6" spans="1:18" x14ac:dyDescent="0.25">
      <c r="A6">
        <v>142107.34</v>
      </c>
      <c r="B6">
        <v>91391.77</v>
      </c>
      <c r="C6">
        <v>366168.42</v>
      </c>
      <c r="D6" t="s">
        <v>9</v>
      </c>
      <c r="E6">
        <v>166187.94</v>
      </c>
      <c r="M6" t="s">
        <v>11</v>
      </c>
      <c r="N6">
        <v>0.95074599406832461</v>
      </c>
    </row>
    <row r="7" spans="1:18" x14ac:dyDescent="0.25">
      <c r="A7">
        <v>131876.9</v>
      </c>
      <c r="B7">
        <v>99814.71</v>
      </c>
      <c r="C7">
        <v>362861.36</v>
      </c>
      <c r="D7" t="s">
        <v>6</v>
      </c>
      <c r="E7">
        <v>156991.12</v>
      </c>
      <c r="M7" t="s">
        <v>12</v>
      </c>
      <c r="N7">
        <v>0.94753377629017177</v>
      </c>
    </row>
    <row r="8" spans="1:18" x14ac:dyDescent="0.25">
      <c r="A8">
        <v>134615.46</v>
      </c>
      <c r="B8">
        <v>147198.87</v>
      </c>
      <c r="C8">
        <v>127716.82</v>
      </c>
      <c r="D8" t="s">
        <v>7</v>
      </c>
      <c r="E8">
        <v>156122.51</v>
      </c>
      <c r="M8" t="s">
        <v>13</v>
      </c>
      <c r="N8">
        <v>9232.3348370026924</v>
      </c>
    </row>
    <row r="9" spans="1:18" ht="15.75" thickBot="1" x14ac:dyDescent="0.3">
      <c r="A9">
        <v>130298.13</v>
      </c>
      <c r="B9">
        <v>145530.06</v>
      </c>
      <c r="C9">
        <v>323876.68</v>
      </c>
      <c r="D9" t="s">
        <v>9</v>
      </c>
      <c r="E9">
        <v>155752.6</v>
      </c>
      <c r="M9" s="2" t="s">
        <v>14</v>
      </c>
      <c r="N9" s="2">
        <v>50</v>
      </c>
    </row>
    <row r="10" spans="1:18" x14ac:dyDescent="0.25">
      <c r="A10">
        <v>120542.52</v>
      </c>
      <c r="B10">
        <v>148718.95000000001</v>
      </c>
      <c r="C10">
        <v>311613.28999999998</v>
      </c>
      <c r="D10" t="s">
        <v>6</v>
      </c>
      <c r="E10">
        <v>152211.76999999999</v>
      </c>
    </row>
    <row r="11" spans="1:18" ht="15.75" thickBot="1" x14ac:dyDescent="0.3">
      <c r="A11">
        <v>123334.88</v>
      </c>
      <c r="B11">
        <v>108679.17</v>
      </c>
      <c r="C11">
        <v>304981.62</v>
      </c>
      <c r="D11" t="s">
        <v>7</v>
      </c>
      <c r="E11">
        <v>149759.96</v>
      </c>
      <c r="M11" t="s">
        <v>15</v>
      </c>
    </row>
    <row r="12" spans="1:18" x14ac:dyDescent="0.25">
      <c r="A12">
        <v>101913.08</v>
      </c>
      <c r="B12">
        <v>110594.11</v>
      </c>
      <c r="C12">
        <v>229160.95</v>
      </c>
      <c r="D12" t="s">
        <v>9</v>
      </c>
      <c r="E12">
        <v>146121.95000000001</v>
      </c>
      <c r="M12" s="3"/>
      <c r="N12" s="3" t="s">
        <v>16</v>
      </c>
      <c r="O12" s="3" t="s">
        <v>17</v>
      </c>
      <c r="P12" s="3" t="s">
        <v>18</v>
      </c>
      <c r="Q12" s="3" t="s">
        <v>19</v>
      </c>
      <c r="R12" s="3" t="s">
        <v>20</v>
      </c>
    </row>
    <row r="13" spans="1:18" x14ac:dyDescent="0.25">
      <c r="A13">
        <v>100671.96</v>
      </c>
      <c r="B13">
        <v>91790.61</v>
      </c>
      <c r="C13">
        <v>249744.55</v>
      </c>
      <c r="D13" t="s">
        <v>7</v>
      </c>
      <c r="E13">
        <v>144259.4</v>
      </c>
      <c r="M13" t="s">
        <v>21</v>
      </c>
      <c r="N13">
        <v>3</v>
      </c>
      <c r="O13">
        <v>75683964196.192642</v>
      </c>
      <c r="P13">
        <v>25227988065.397549</v>
      </c>
      <c r="Q13">
        <v>295.97806242610113</v>
      </c>
      <c r="R13">
        <v>4.5285063201720611E-30</v>
      </c>
    </row>
    <row r="14" spans="1:18" x14ac:dyDescent="0.25">
      <c r="A14">
        <v>93863.75</v>
      </c>
      <c r="B14">
        <v>127320.38</v>
      </c>
      <c r="C14">
        <v>249839.44</v>
      </c>
      <c r="D14" t="s">
        <v>9</v>
      </c>
      <c r="E14">
        <v>141585.51999999999</v>
      </c>
      <c r="J14" t="s">
        <v>5</v>
      </c>
      <c r="M14" t="s">
        <v>22</v>
      </c>
      <c r="N14">
        <v>46</v>
      </c>
      <c r="O14">
        <v>3920856300.956542</v>
      </c>
      <c r="P14">
        <v>85236006.542533517</v>
      </c>
    </row>
    <row r="15" spans="1:18" ht="15.75" thickBot="1" x14ac:dyDescent="0.3">
      <c r="A15">
        <v>91992.39</v>
      </c>
      <c r="B15">
        <v>135495.07</v>
      </c>
      <c r="C15">
        <v>252664.93</v>
      </c>
      <c r="D15" t="s">
        <v>7</v>
      </c>
      <c r="E15">
        <v>134307.35</v>
      </c>
      <c r="M15" s="2" t="s">
        <v>23</v>
      </c>
      <c r="N15" s="2">
        <v>49</v>
      </c>
      <c r="O15" s="2">
        <v>79604820497.149185</v>
      </c>
      <c r="P15" s="2"/>
      <c r="Q15" s="2"/>
      <c r="R15" s="2"/>
    </row>
    <row r="16" spans="1:18" ht="15.75" thickBot="1" x14ac:dyDescent="0.3">
      <c r="A16">
        <v>119943.24</v>
      </c>
      <c r="B16">
        <v>156547.42000000001</v>
      </c>
      <c r="C16">
        <v>256512.92</v>
      </c>
      <c r="D16" t="s">
        <v>9</v>
      </c>
      <c r="E16">
        <v>132602.65</v>
      </c>
      <c r="J16" t="s">
        <v>8</v>
      </c>
    </row>
    <row r="17" spans="1:21" x14ac:dyDescent="0.25">
      <c r="A17">
        <v>114523.61</v>
      </c>
      <c r="B17">
        <v>122616.84</v>
      </c>
      <c r="C17">
        <v>261776.23</v>
      </c>
      <c r="D17" t="s">
        <v>6</v>
      </c>
      <c r="E17">
        <v>129917.04</v>
      </c>
      <c r="J17" t="s">
        <v>10</v>
      </c>
      <c r="K17">
        <v>0.97290046600000002</v>
      </c>
      <c r="M17" s="3"/>
      <c r="N17" s="3" t="s">
        <v>24</v>
      </c>
      <c r="O17" s="3" t="s">
        <v>13</v>
      </c>
      <c r="P17" s="3" t="s">
        <v>25</v>
      </c>
      <c r="Q17" s="3" t="s">
        <v>26</v>
      </c>
      <c r="R17" s="3" t="s">
        <v>27</v>
      </c>
      <c r="S17" s="3" t="s">
        <v>28</v>
      </c>
      <c r="T17" s="3" t="s">
        <v>29</v>
      </c>
      <c r="U17" s="3" t="s">
        <v>30</v>
      </c>
    </row>
    <row r="18" spans="1:21" x14ac:dyDescent="0.25">
      <c r="A18">
        <v>78013.11</v>
      </c>
      <c r="B18">
        <v>121597.55</v>
      </c>
      <c r="C18">
        <v>264346.06</v>
      </c>
      <c r="D18" t="s">
        <v>7</v>
      </c>
      <c r="E18">
        <v>126992.93</v>
      </c>
      <c r="J18" t="s">
        <v>11</v>
      </c>
      <c r="K18">
        <v>0.94653531599999996</v>
      </c>
      <c r="M18" t="s">
        <v>31</v>
      </c>
      <c r="N18">
        <v>50122.192989865282</v>
      </c>
      <c r="O18">
        <v>6572.3526215324682</v>
      </c>
      <c r="P18">
        <v>7.6262178668950273</v>
      </c>
      <c r="Q18">
        <v>1.0573791602334319E-9</v>
      </c>
      <c r="R18">
        <v>36892.733323435998</v>
      </c>
      <c r="S18">
        <v>63351.652656294566</v>
      </c>
      <c r="T18">
        <v>36892.733323435998</v>
      </c>
      <c r="U18">
        <v>63351.652656294566</v>
      </c>
    </row>
    <row r="19" spans="1:21" x14ac:dyDescent="0.25">
      <c r="A19">
        <v>94657.16</v>
      </c>
      <c r="B19">
        <v>145077.57999999999</v>
      </c>
      <c r="C19">
        <v>282574.31</v>
      </c>
      <c r="D19" t="s">
        <v>6</v>
      </c>
      <c r="E19">
        <v>125370.37</v>
      </c>
      <c r="J19" t="s">
        <v>12</v>
      </c>
      <c r="K19">
        <v>0.94542146800000004</v>
      </c>
      <c r="M19" t="s">
        <v>0</v>
      </c>
      <c r="N19">
        <v>0.80571504991574339</v>
      </c>
      <c r="O19">
        <v>4.5147269728517771E-2</v>
      </c>
      <c r="P19">
        <v>17.846373762150328</v>
      </c>
      <c r="Q19">
        <v>2.6349677214705453E-22</v>
      </c>
      <c r="R19">
        <v>0.71483830937598158</v>
      </c>
      <c r="S19">
        <v>0.89659179045550519</v>
      </c>
      <c r="T19">
        <v>0.71483830937598158</v>
      </c>
      <c r="U19">
        <v>0.89659179045550519</v>
      </c>
    </row>
    <row r="20" spans="1:21" x14ac:dyDescent="0.25">
      <c r="A20">
        <v>91749.16</v>
      </c>
      <c r="B20">
        <v>114175.79</v>
      </c>
      <c r="C20">
        <v>294919.57</v>
      </c>
      <c r="D20" t="s">
        <v>9</v>
      </c>
      <c r="E20">
        <v>124266.9</v>
      </c>
      <c r="J20" t="s">
        <v>13</v>
      </c>
      <c r="K20">
        <v>9416.3494410000003</v>
      </c>
      <c r="M20" t="s">
        <v>1</v>
      </c>
      <c r="N20">
        <v>-2.6815968394751061E-2</v>
      </c>
      <c r="O20">
        <v>5.1028779938751379E-2</v>
      </c>
      <c r="P20">
        <v>-0.52550675181608542</v>
      </c>
      <c r="Q20">
        <v>0.60175510784974762</v>
      </c>
      <c r="R20">
        <v>-0.12953157495169182</v>
      </c>
      <c r="S20">
        <v>7.5899638162189684E-2</v>
      </c>
      <c r="T20">
        <v>-0.12953157495169182</v>
      </c>
      <c r="U20">
        <v>7.5899638162189684E-2</v>
      </c>
    </row>
    <row r="21" spans="1:21" ht="15.75" thickBot="1" x14ac:dyDescent="0.3">
      <c r="A21">
        <v>86419.7</v>
      </c>
      <c r="B21">
        <v>153514.10999999999</v>
      </c>
      <c r="C21">
        <v>0</v>
      </c>
      <c r="D21" t="s">
        <v>6</v>
      </c>
      <c r="E21">
        <v>122776.86</v>
      </c>
      <c r="J21" t="s">
        <v>14</v>
      </c>
      <c r="K21">
        <v>50</v>
      </c>
      <c r="M21" s="2" t="s">
        <v>2</v>
      </c>
      <c r="N21" s="2">
        <v>2.7228064800818939E-2</v>
      </c>
      <c r="O21" s="2">
        <v>1.645123451799518E-2</v>
      </c>
      <c r="P21" s="2">
        <v>1.6550772995811058</v>
      </c>
      <c r="Q21" s="2">
        <v>0.10471681926658105</v>
      </c>
      <c r="R21" s="2">
        <v>-5.8865527572449679E-3</v>
      </c>
      <c r="S21" s="2">
        <v>6.0342682358882849E-2</v>
      </c>
      <c r="T21" s="2">
        <v>-5.8865527572449679E-3</v>
      </c>
      <c r="U21" s="2">
        <v>6.0342682358882849E-2</v>
      </c>
    </row>
    <row r="22" spans="1:21" x14ac:dyDescent="0.25">
      <c r="A22">
        <v>76253.86</v>
      </c>
      <c r="B22">
        <v>113867.3</v>
      </c>
      <c r="C22">
        <v>298664.46999999997</v>
      </c>
      <c r="D22" t="s">
        <v>7</v>
      </c>
      <c r="E22">
        <v>118474.03</v>
      </c>
    </row>
    <row r="23" spans="1:21" x14ac:dyDescent="0.25">
      <c r="A23">
        <v>78389.47</v>
      </c>
      <c r="B23">
        <v>153773.43</v>
      </c>
      <c r="C23">
        <v>299737.28999999998</v>
      </c>
      <c r="D23" t="s">
        <v>6</v>
      </c>
      <c r="E23">
        <v>111313.02</v>
      </c>
      <c r="J23" t="s">
        <v>15</v>
      </c>
    </row>
    <row r="24" spans="1:21" x14ac:dyDescent="0.25">
      <c r="A24">
        <v>73994.559999999998</v>
      </c>
      <c r="B24">
        <v>122782.75</v>
      </c>
      <c r="C24">
        <v>303319.26</v>
      </c>
      <c r="D24" t="s">
        <v>9</v>
      </c>
      <c r="E24">
        <v>110352.25</v>
      </c>
      <c r="K24" t="s">
        <v>16</v>
      </c>
      <c r="L24" t="s">
        <v>17</v>
      </c>
    </row>
    <row r="25" spans="1:21" x14ac:dyDescent="0.25">
      <c r="A25">
        <v>67532.53</v>
      </c>
      <c r="B25">
        <v>105751.03</v>
      </c>
      <c r="C25">
        <v>304768.73</v>
      </c>
      <c r="D25" t="s">
        <v>9</v>
      </c>
      <c r="E25">
        <v>108733.99</v>
      </c>
      <c r="J25" t="s">
        <v>21</v>
      </c>
      <c r="K25">
        <v>1</v>
      </c>
      <c r="L25">
        <v>75348773931</v>
      </c>
      <c r="M25">
        <v>75348773931</v>
      </c>
      <c r="N25">
        <v>849.78890439999998</v>
      </c>
      <c r="O25" s="1">
        <v>3.5003200000000002E-32</v>
      </c>
    </row>
    <row r="26" spans="1:21" x14ac:dyDescent="0.25">
      <c r="A26">
        <v>77044.009999999995</v>
      </c>
      <c r="B26">
        <v>99281.34</v>
      </c>
      <c r="C26">
        <v>140574.81</v>
      </c>
      <c r="D26" t="s">
        <v>6</v>
      </c>
      <c r="E26">
        <v>108552.04</v>
      </c>
      <c r="J26" t="s">
        <v>22</v>
      </c>
      <c r="K26">
        <v>48</v>
      </c>
      <c r="L26">
        <v>4256046566</v>
      </c>
      <c r="M26">
        <v>88667636.799999997</v>
      </c>
    </row>
    <row r="27" spans="1:21" x14ac:dyDescent="0.25">
      <c r="A27">
        <v>64664.71</v>
      </c>
      <c r="B27">
        <v>139553.16</v>
      </c>
      <c r="C27">
        <v>137962.62</v>
      </c>
      <c r="D27" t="s">
        <v>7</v>
      </c>
      <c r="E27">
        <v>107404.34</v>
      </c>
      <c r="J27" t="s">
        <v>23</v>
      </c>
      <c r="K27">
        <v>49</v>
      </c>
      <c r="L27">
        <v>79604820497</v>
      </c>
    </row>
    <row r="28" spans="1:21" x14ac:dyDescent="0.25">
      <c r="A28">
        <v>75328.87</v>
      </c>
      <c r="B28">
        <v>144135.98000000001</v>
      </c>
      <c r="C28">
        <v>134050.07</v>
      </c>
      <c r="D28" t="s">
        <v>9</v>
      </c>
      <c r="E28">
        <v>105733.54</v>
      </c>
    </row>
    <row r="29" spans="1:21" x14ac:dyDescent="0.25">
      <c r="A29">
        <v>72107.600000000006</v>
      </c>
      <c r="B29">
        <v>127864.55</v>
      </c>
      <c r="C29">
        <v>353183.81</v>
      </c>
      <c r="D29" t="s">
        <v>6</v>
      </c>
      <c r="E29">
        <v>105008.31</v>
      </c>
      <c r="K29" t="s">
        <v>24</v>
      </c>
      <c r="L29" t="s">
        <v>13</v>
      </c>
      <c r="M29" t="s">
        <v>25</v>
      </c>
      <c r="N29" t="s">
        <v>26</v>
      </c>
      <c r="O29" t="s">
        <v>27</v>
      </c>
      <c r="P29" t="s">
        <v>28</v>
      </c>
      <c r="Q29" t="s">
        <v>29</v>
      </c>
      <c r="R29" t="s">
        <v>30</v>
      </c>
    </row>
    <row r="30" spans="1:21" x14ac:dyDescent="0.25">
      <c r="A30">
        <v>66051.520000000004</v>
      </c>
      <c r="B30">
        <v>182645.56</v>
      </c>
      <c r="C30">
        <v>118148.2</v>
      </c>
      <c r="D30" t="s">
        <v>9</v>
      </c>
      <c r="E30">
        <v>103282.38</v>
      </c>
      <c r="J30" t="s">
        <v>31</v>
      </c>
      <c r="K30">
        <v>49032.899140000001</v>
      </c>
      <c r="L30">
        <v>2537.8969489999999</v>
      </c>
      <c r="M30">
        <v>19.320287669999999</v>
      </c>
      <c r="N30" s="1">
        <v>2.7827000000000001E-24</v>
      </c>
      <c r="O30">
        <v>43930.115319999997</v>
      </c>
      <c r="P30">
        <v>54135.682959999998</v>
      </c>
      <c r="Q30">
        <v>43930.115319999997</v>
      </c>
      <c r="R30">
        <v>54135.682959999998</v>
      </c>
    </row>
    <row r="31" spans="1:21" x14ac:dyDescent="0.25">
      <c r="A31">
        <v>65605.48</v>
      </c>
      <c r="B31">
        <v>153032.06</v>
      </c>
      <c r="C31">
        <v>107138.38</v>
      </c>
      <c r="D31" t="s">
        <v>6</v>
      </c>
      <c r="E31">
        <v>101004.64</v>
      </c>
      <c r="J31" t="s">
        <v>0</v>
      </c>
      <c r="K31">
        <v>0.85429137099999997</v>
      </c>
      <c r="L31">
        <v>2.9305590999999999E-2</v>
      </c>
      <c r="M31">
        <v>29.15113899</v>
      </c>
      <c r="N31" s="1">
        <v>3.5003200000000002E-32</v>
      </c>
      <c r="O31">
        <v>0.79536852999999996</v>
      </c>
      <c r="P31">
        <v>0.91321421199999997</v>
      </c>
      <c r="Q31">
        <v>0.79536852999999996</v>
      </c>
      <c r="R31">
        <v>0.91321421199999997</v>
      </c>
    </row>
    <row r="32" spans="1:21" x14ac:dyDescent="0.25">
      <c r="A32">
        <v>61994.48</v>
      </c>
      <c r="B32">
        <v>115641.28</v>
      </c>
      <c r="C32">
        <v>91131.24</v>
      </c>
      <c r="D32" t="s">
        <v>9</v>
      </c>
      <c r="E32">
        <v>99937.59</v>
      </c>
    </row>
    <row r="33" spans="1:13" x14ac:dyDescent="0.25">
      <c r="A33">
        <v>61136.38</v>
      </c>
      <c r="B33">
        <v>152701.92000000001</v>
      </c>
      <c r="C33">
        <v>88218.23</v>
      </c>
      <c r="D33" t="s">
        <v>6</v>
      </c>
      <c r="E33">
        <v>97483.56</v>
      </c>
    </row>
    <row r="34" spans="1:13" x14ac:dyDescent="0.25">
      <c r="A34">
        <v>63408.86</v>
      </c>
      <c r="B34">
        <v>129219.61</v>
      </c>
      <c r="C34">
        <v>46085.25</v>
      </c>
      <c r="D34" t="s">
        <v>7</v>
      </c>
      <c r="E34">
        <v>97427.839999999997</v>
      </c>
    </row>
    <row r="35" spans="1:13" x14ac:dyDescent="0.25">
      <c r="A35">
        <v>55493.95</v>
      </c>
      <c r="B35">
        <v>103057.49</v>
      </c>
      <c r="C35">
        <v>214634.81</v>
      </c>
      <c r="D35" t="s">
        <v>9</v>
      </c>
      <c r="E35">
        <v>96778.92</v>
      </c>
      <c r="H35" t="s">
        <v>5</v>
      </c>
    </row>
    <row r="36" spans="1:13" x14ac:dyDescent="0.25">
      <c r="A36">
        <v>46426.07</v>
      </c>
      <c r="B36">
        <v>157693.92000000001</v>
      </c>
      <c r="C36">
        <v>210797.67</v>
      </c>
      <c r="D36" t="s">
        <v>7</v>
      </c>
      <c r="E36">
        <v>96712.8</v>
      </c>
    </row>
    <row r="37" spans="1:13" x14ac:dyDescent="0.25">
      <c r="A37">
        <v>46014.02</v>
      </c>
      <c r="B37">
        <v>85047.44</v>
      </c>
      <c r="C37">
        <v>205517.64</v>
      </c>
      <c r="D37" t="s">
        <v>6</v>
      </c>
      <c r="E37">
        <v>96479.51</v>
      </c>
      <c r="H37" t="s">
        <v>8</v>
      </c>
    </row>
    <row r="38" spans="1:13" x14ac:dyDescent="0.25">
      <c r="A38">
        <v>28663.759999999998</v>
      </c>
      <c r="B38">
        <v>127056.21</v>
      </c>
      <c r="C38">
        <v>201126.82</v>
      </c>
      <c r="D38" t="s">
        <v>9</v>
      </c>
      <c r="E38">
        <v>90708.19</v>
      </c>
      <c r="H38" t="s">
        <v>10</v>
      </c>
      <c r="I38">
        <v>0.20071656800000001</v>
      </c>
    </row>
    <row r="39" spans="1:13" x14ac:dyDescent="0.25">
      <c r="A39">
        <v>44069.95</v>
      </c>
      <c r="B39">
        <v>51283.14</v>
      </c>
      <c r="C39">
        <v>197029.42</v>
      </c>
      <c r="D39" t="s">
        <v>7</v>
      </c>
      <c r="E39">
        <v>89949.14</v>
      </c>
      <c r="H39" t="s">
        <v>11</v>
      </c>
      <c r="I39">
        <v>4.0287140999999999E-2</v>
      </c>
    </row>
    <row r="40" spans="1:13" x14ac:dyDescent="0.25">
      <c r="A40">
        <v>20229.59</v>
      </c>
      <c r="B40">
        <v>65947.929999999993</v>
      </c>
      <c r="C40">
        <v>185265.1</v>
      </c>
      <c r="D40" t="s">
        <v>6</v>
      </c>
      <c r="E40">
        <v>81229.06</v>
      </c>
      <c r="H40" t="s">
        <v>12</v>
      </c>
      <c r="I40">
        <v>2.0293123E-2</v>
      </c>
    </row>
    <row r="41" spans="1:13" x14ac:dyDescent="0.25">
      <c r="A41">
        <v>38558.51</v>
      </c>
      <c r="B41">
        <v>82982.09</v>
      </c>
      <c r="C41">
        <v>174999.3</v>
      </c>
      <c r="D41" t="s">
        <v>7</v>
      </c>
      <c r="E41">
        <v>81005.759999999995</v>
      </c>
      <c r="H41" t="s">
        <v>13</v>
      </c>
      <c r="I41">
        <v>39895.115059999996</v>
      </c>
    </row>
    <row r="42" spans="1:13" x14ac:dyDescent="0.25">
      <c r="A42">
        <v>28754.33</v>
      </c>
      <c r="B42">
        <v>118546.05</v>
      </c>
      <c r="C42">
        <v>172795.67</v>
      </c>
      <c r="D42" t="s">
        <v>7</v>
      </c>
      <c r="E42">
        <v>78239.91</v>
      </c>
      <c r="H42" t="s">
        <v>14</v>
      </c>
      <c r="I42">
        <v>50</v>
      </c>
    </row>
    <row r="43" spans="1:13" x14ac:dyDescent="0.25">
      <c r="A43">
        <v>27892.92</v>
      </c>
      <c r="B43">
        <v>84710.77</v>
      </c>
      <c r="C43">
        <v>164470.71</v>
      </c>
      <c r="D43" t="s">
        <v>9</v>
      </c>
      <c r="E43">
        <v>77798.83</v>
      </c>
    </row>
    <row r="44" spans="1:13" x14ac:dyDescent="0.25">
      <c r="A44">
        <v>23640.93</v>
      </c>
      <c r="B44">
        <v>96189.63</v>
      </c>
      <c r="C44">
        <v>148001.10999999999</v>
      </c>
      <c r="D44" t="s">
        <v>7</v>
      </c>
      <c r="E44">
        <v>71498.490000000005</v>
      </c>
      <c r="H44" t="s">
        <v>15</v>
      </c>
    </row>
    <row r="45" spans="1:13" x14ac:dyDescent="0.25">
      <c r="A45">
        <v>15505.73</v>
      </c>
      <c r="B45">
        <v>127382.3</v>
      </c>
      <c r="C45">
        <v>35534.17</v>
      </c>
      <c r="D45" t="s">
        <v>6</v>
      </c>
      <c r="E45">
        <v>69758.98</v>
      </c>
      <c r="I45" t="s">
        <v>16</v>
      </c>
      <c r="J45" t="s">
        <v>17</v>
      </c>
      <c r="K45" t="s">
        <v>18</v>
      </c>
      <c r="L45" t="s">
        <v>19</v>
      </c>
      <c r="M45" t="s">
        <v>20</v>
      </c>
    </row>
    <row r="46" spans="1:13" x14ac:dyDescent="0.25">
      <c r="A46">
        <v>22177.74</v>
      </c>
      <c r="B46">
        <v>154806.14000000001</v>
      </c>
      <c r="C46">
        <v>28334.720000000001</v>
      </c>
      <c r="D46" t="s">
        <v>7</v>
      </c>
      <c r="E46">
        <v>65200.33</v>
      </c>
      <c r="H46" t="s">
        <v>21</v>
      </c>
      <c r="I46">
        <v>1</v>
      </c>
      <c r="J46">
        <v>3207050610</v>
      </c>
      <c r="K46">
        <v>3207050610</v>
      </c>
      <c r="L46">
        <v>2.014959723</v>
      </c>
      <c r="M46">
        <v>0.16221739499999999</v>
      </c>
    </row>
    <row r="47" spans="1:13" x14ac:dyDescent="0.25">
      <c r="A47">
        <v>1000.23</v>
      </c>
      <c r="B47">
        <v>124153.04</v>
      </c>
      <c r="C47">
        <v>1903.93</v>
      </c>
      <c r="D47" t="s">
        <v>6</v>
      </c>
      <c r="E47">
        <v>64926.080000000002</v>
      </c>
      <c r="H47" t="s">
        <v>22</v>
      </c>
      <c r="I47">
        <v>48</v>
      </c>
      <c r="J47">
        <v>76397769887</v>
      </c>
      <c r="K47">
        <v>1591620206</v>
      </c>
    </row>
    <row r="48" spans="1:13" x14ac:dyDescent="0.25">
      <c r="A48">
        <v>1315.46</v>
      </c>
      <c r="B48">
        <v>115816.21</v>
      </c>
      <c r="C48">
        <v>297114.46000000002</v>
      </c>
      <c r="D48" t="s">
        <v>9</v>
      </c>
      <c r="E48">
        <v>49490.75</v>
      </c>
      <c r="H48" t="s">
        <v>23</v>
      </c>
      <c r="I48">
        <v>49</v>
      </c>
      <c r="J48">
        <v>79604820497</v>
      </c>
    </row>
    <row r="49" spans="1:16" x14ac:dyDescent="0.25">
      <c r="A49">
        <v>0</v>
      </c>
      <c r="B49">
        <v>135426.92000000001</v>
      </c>
      <c r="C49">
        <v>0</v>
      </c>
      <c r="D49" t="s">
        <v>7</v>
      </c>
      <c r="E49">
        <v>42559.73</v>
      </c>
    </row>
    <row r="50" spans="1:16" x14ac:dyDescent="0.25">
      <c r="A50">
        <v>542.04999999999995</v>
      </c>
      <c r="B50">
        <v>51743.15</v>
      </c>
      <c r="C50">
        <v>0</v>
      </c>
      <c r="D50" t="s">
        <v>6</v>
      </c>
      <c r="E50">
        <v>35673.410000000003</v>
      </c>
      <c r="I50" t="s">
        <v>24</v>
      </c>
      <c r="J50" t="s">
        <v>13</v>
      </c>
      <c r="K50" t="s">
        <v>25</v>
      </c>
      <c r="L50" t="s">
        <v>26</v>
      </c>
      <c r="M50" t="s">
        <v>27</v>
      </c>
      <c r="N50" t="s">
        <v>28</v>
      </c>
      <c r="O50" t="s">
        <v>29</v>
      </c>
      <c r="P50" t="s">
        <v>30</v>
      </c>
    </row>
    <row r="51" spans="1:16" x14ac:dyDescent="0.25">
      <c r="A51">
        <v>0</v>
      </c>
      <c r="B51">
        <v>116983.8</v>
      </c>
      <c r="C51">
        <v>45173.06</v>
      </c>
      <c r="D51" t="s">
        <v>7</v>
      </c>
      <c r="E51">
        <v>14681.4</v>
      </c>
      <c r="H51" t="s">
        <v>31</v>
      </c>
      <c r="I51">
        <v>76974.471309999994</v>
      </c>
      <c r="J51">
        <v>25320.18333</v>
      </c>
      <c r="K51">
        <v>3.040043995</v>
      </c>
      <c r="L51">
        <v>3.823543E-3</v>
      </c>
      <c r="M51">
        <v>26064.830620000001</v>
      </c>
      <c r="N51">
        <v>127884.11199999999</v>
      </c>
      <c r="O51">
        <v>26064.830620000001</v>
      </c>
      <c r="P51">
        <v>127884.11199999999</v>
      </c>
    </row>
    <row r="52" spans="1:16" x14ac:dyDescent="0.25">
      <c r="H52" t="s">
        <v>1</v>
      </c>
      <c r="I52">
        <v>0.28874920199999998</v>
      </c>
      <c r="J52">
        <v>0.20341717000000001</v>
      </c>
      <c r="K52">
        <v>1.41949277</v>
      </c>
      <c r="L52">
        <v>0.16221739499999999</v>
      </c>
      <c r="M52">
        <v>-0.12024843</v>
      </c>
      <c r="N52">
        <v>0.69774683500000001</v>
      </c>
      <c r="O52">
        <v>-0.12024843</v>
      </c>
      <c r="P52">
        <v>0.69774683500000001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499DC-4634-4869-A6EC-2704A5C1EEE9}">
  <dimension ref="A3:B7"/>
  <sheetViews>
    <sheetView workbookViewId="0">
      <selection activeCell="A4" sqref="A4:B6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3" spans="1:2" x14ac:dyDescent="0.25">
      <c r="A3" s="5" t="s">
        <v>34</v>
      </c>
      <c r="B3" t="s">
        <v>36</v>
      </c>
    </row>
    <row r="4" spans="1:2" x14ac:dyDescent="0.25">
      <c r="A4" s="6" t="s">
        <v>7</v>
      </c>
      <c r="B4">
        <v>1766387.98</v>
      </c>
    </row>
    <row r="5" spans="1:2" x14ac:dyDescent="0.25">
      <c r="A5" s="6" t="s">
        <v>9</v>
      </c>
      <c r="B5">
        <v>1900384.3900000004</v>
      </c>
    </row>
    <row r="6" spans="1:2" x14ac:dyDescent="0.25">
      <c r="A6" s="6" t="s">
        <v>6</v>
      </c>
      <c r="B6">
        <v>1933859.59</v>
      </c>
    </row>
    <row r="7" spans="1:2" x14ac:dyDescent="0.25">
      <c r="A7" s="6" t="s">
        <v>35</v>
      </c>
      <c r="B7">
        <v>5600631.96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Profit_analysis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</dc:creator>
  <cp:lastModifiedBy>kiran</cp:lastModifiedBy>
  <dcterms:created xsi:type="dcterms:W3CDTF">2026-03-17T07:02:12Z</dcterms:created>
  <dcterms:modified xsi:type="dcterms:W3CDTF">2026-04-18T19:40:02Z</dcterms:modified>
</cp:coreProperties>
</file>